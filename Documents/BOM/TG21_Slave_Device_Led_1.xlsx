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TG21_Slave_Device_Led_1\Documents\BOM\"/>
    </mc:Choice>
  </mc:AlternateContent>
  <xr:revisionPtr revIDLastSave="0" documentId="13_ncr:1_{61257D00-6AD0-46AE-9055-74F4C4E02F55}" xr6:coauthVersionLast="47" xr6:coauthVersionMax="47" xr10:uidLastSave="{00000000-0000-0000-0000-000000000000}"/>
  <bookViews>
    <workbookView xWindow="-108" yWindow="-108" windowWidth="23256" windowHeight="12576" xr2:uid="{45624977-85C6-4A2D-899C-38304A4548ED}"/>
  </bookViews>
  <sheets>
    <sheet name="4x0phztp" sheetId="1" r:id="rId1"/>
  </sheets>
  <definedNames>
    <definedName name="_xlnm.Print_Titles" localSheetId="0">'4x0phztp'!$8:$8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10" i="1"/>
  <c r="I9" i="1"/>
</calcChain>
</file>

<file path=xl/sharedStrings.xml><?xml version="1.0" encoding="utf-8"?>
<sst xmlns="http://schemas.openxmlformats.org/spreadsheetml/2006/main" count="195" uniqueCount="140">
  <si>
    <t>Quantity</t>
  </si>
  <si>
    <t>Link</t>
  </si>
  <si>
    <t>B1212S-1W</t>
  </si>
  <si>
    <t>Isolated Module DC DC Converter Buck 1 Output 12V 84mA 10.8V~13.2V Input</t>
  </si>
  <si>
    <t>B1</t>
  </si>
  <si>
    <t>RLT</t>
  </si>
  <si>
    <t>https://www.lcsc.com/product-detail/C512042.html?s_z=n_q_p_B1212-1W&amp;spm=wm.ssy.bg.0.xh&amp;lcsc_vid=Q1VfX1ReRFFaUFJSRgIIUV0CFFgIBFJfT1hdVlwEEVkxVlNRT1RZVlVRTlFWUTsOAxUeFF5JWBYZEEoKFBINSQcJGk4NBhADEA4cHktXRFZWSQwSGg0%3D</t>
  </si>
  <si>
    <t>4.7uF</t>
  </si>
  <si>
    <t>4.7uF 50V Aluminum Electrolytic Capacitors Through Hole,D5xL11mm 5000hrs@105℃</t>
  </si>
  <si>
    <t>C1, C2</t>
  </si>
  <si>
    <t>Rubycon</t>
  </si>
  <si>
    <t>50YXF4R7MEFC5X11</t>
  </si>
  <si>
    <t>47uF</t>
  </si>
  <si>
    <t>47uF 63V Aluminum Electrolytic Capacitors Through Hole,D6.3xL12mm 5000hrs@105℃</t>
  </si>
  <si>
    <t>C5, C6, C11, C12, C17, C18</t>
  </si>
  <si>
    <t>AISHI</t>
  </si>
  <si>
    <t>ERS1JM470E12OT</t>
  </si>
  <si>
    <t>100nF</t>
  </si>
  <si>
    <t>100nF ±10% 50V Ceramic Capacitor X7R 0603</t>
  </si>
  <si>
    <t>C7, C10, C13, C16, C19, C22</t>
  </si>
  <si>
    <t>Samsung Electro-Mechanics</t>
  </si>
  <si>
    <t>CL10B104KB8NNNC</t>
  </si>
  <si>
    <t>100pF</t>
  </si>
  <si>
    <t>100pF ±5% 50V Ceramic Capacitor C0G 0603</t>
  </si>
  <si>
    <t>C8, C14, C20</t>
  </si>
  <si>
    <t>CL10C101JB8NNNC</t>
  </si>
  <si>
    <t>1uF</t>
  </si>
  <si>
    <t>1uF ±10% 50V Ceramic Capacitor X7R 0603</t>
  </si>
  <si>
    <t>C9, C15, C21</t>
  </si>
  <si>
    <t>CL10B105KB8NQNC</t>
  </si>
  <si>
    <t>XT60PW-M</t>
  </si>
  <si>
    <t>Banana and Tip Connector Adapters RoHS</t>
  </si>
  <si>
    <t>CN1, CN2, CN3, CN4</t>
  </si>
  <si>
    <t>Changzhou Amass Elec</t>
  </si>
  <si>
    <t>IDC2.54-3P</t>
  </si>
  <si>
    <t>Connector IDC Header Through Hole, Right Angle 6 position 2.54mm</t>
  </si>
  <si>
    <t>CN5</t>
  </si>
  <si>
    <t>BOOMELE(Boom Precision Elec)</t>
  </si>
  <si>
    <t>2.54-2*3P</t>
  </si>
  <si>
    <t>B560C-13-F</t>
  </si>
  <si>
    <t>100A 1 Independent 60V 700mV@5A 5A SMC(DO-214AB) Single Diodes RoHS</t>
  </si>
  <si>
    <t>D1, D2, D3</t>
  </si>
  <si>
    <t>DIODES</t>
  </si>
  <si>
    <t>FL7760BM6X</t>
  </si>
  <si>
    <t>High-Side Sensing Constant Current Buck Controller for High Switching Frequency LED Driver</t>
  </si>
  <si>
    <t>IC1, IC2, IC3</t>
  </si>
  <si>
    <t>onsemi</t>
  </si>
  <si>
    <t>22uH</t>
  </si>
  <si>
    <t>8A 22uH 35mΩ 10A Molded Inductor ±20% SMD,11x10mm Fixed Inductors RoHS</t>
  </si>
  <si>
    <t>L1, L2, L3</t>
  </si>
  <si>
    <t>PROD Tech</t>
  </si>
  <si>
    <t>PSPMAA1082T-220M-CGP</t>
  </si>
  <si>
    <t>SFT018N100C3</t>
  </si>
  <si>
    <t>N-Channel 100V 320A 312W Surface Mount TOLL</t>
  </si>
  <si>
    <t>Q1, Q2</t>
  </si>
  <si>
    <t>SCILICON</t>
  </si>
  <si>
    <t>1P</t>
  </si>
  <si>
    <t>Bipolar (BJT) Transistor NPN 40V 600mA 225mW Surface Mount SOT-23</t>
  </si>
  <si>
    <t>Q3, Q4</t>
  </si>
  <si>
    <t>MMBT2222ALT1G</t>
  </si>
  <si>
    <t>TPH3R70A</t>
  </si>
  <si>
    <t>N-Channel 100V 90A 170W SOP-8-Advance</t>
  </si>
  <si>
    <t>Q5, Q6, Q7</t>
  </si>
  <si>
    <t>TOSHIBA</t>
  </si>
  <si>
    <t>TPH3R70APL,L1Q(M</t>
  </si>
  <si>
    <t>PC817C</t>
  </si>
  <si>
    <t>Phototransistor Output 5kVrms 1 Channel SMD-4P</t>
  </si>
  <si>
    <t>Q8</t>
  </si>
  <si>
    <t>HXY MOSFET</t>
  </si>
  <si>
    <t>10K</t>
  </si>
  <si>
    <t>100mW 10kΩ 75V Thick Film Resistor ±100ppm/℃ ±1% 0603 Chip Resistor - Surface Mount RoHS</t>
  </si>
  <si>
    <t>R1, R5, R6</t>
  </si>
  <si>
    <t>YAGEO</t>
  </si>
  <si>
    <t>RC0603FR-0710KL</t>
  </si>
  <si>
    <t>1K</t>
  </si>
  <si>
    <t>100mW 1kΩ 75V Thick Film Resistor ±100ppm/℃ ±1% 0603 Chip Resistor - Surface Mount RoHS</t>
  </si>
  <si>
    <t>R2, R3, R4</t>
  </si>
  <si>
    <t>RC0603FR-071KL</t>
  </si>
  <si>
    <t>33mR</t>
  </si>
  <si>
    <t>33mΩ 3W Current Sense Resistor ±1% ±50ppm/℃ 2512 Chip Resistor - Surface Mount RoHS</t>
  </si>
  <si>
    <t>R7, R8, R10</t>
  </si>
  <si>
    <t>Milliohm</t>
  </si>
  <si>
    <t>HoLLR2512-3W-33mR-1%</t>
  </si>
  <si>
    <t>0R</t>
  </si>
  <si>
    <t>0Ω 100mW 75V Thick Film Resistor ±1% 0603 Chip Resistor - Surface Mount RoHS</t>
  </si>
  <si>
    <t>R9, R11, R12, R13</t>
  </si>
  <si>
    <t>RC0603FR-070RL</t>
  </si>
  <si>
    <t>https://www.lcsc.com/product-detail/C88759.html?s_z=n_q_50YXF4R7MEFC5X11&amp;spm=wm.fly.bg.0.xh&amp;lcsc_vid=Q1VfX1ReRFFaUFJSRgIIUV0CFFgIBFJfT1hdVlwEEVkxVlNRT1RZVFRVR1leXzsOAxUeFF5JWBYZEEoKFBINSQcJGk4eFQsCAgIaSgADAwAHC0slQlBcV1BUWQkaCgg%3D</t>
  </si>
  <si>
    <t>https://www.lcsc.com/product-detail/C106674.html?s_z=n_q_ERS1JM470E12OT&amp;spm=wm.fly.bg.0.xh&amp;lcsc_vid=Q1VfX1ReRFFaUFJSRgIIUV0CFFgIBFJfT1hdVlwEEVkxVlNRT1RZVFReRFJaUzsOAxUeFF5JWBYZEEoKFBINSQcJGk4eFQsCAgIaSgADAwAHC0slT1lZUl1IHxUDCw%3D%3D</t>
  </si>
  <si>
    <t>https://www.lcsc.com/product-detail/C1591.html?s_z=n_q_CL10B104KB8NNNC&amp;spm=wm.fly.bg.0.xh&amp;lcsc_vid=Q1VfX1ReRFFaUFJSRgIIUV0CFFgIBFJfT1hdVlwEEVkxVlNRT1RZVFVXQFJdVTsOAxUeFF5JWBYZEEoKFBINSQcJGk4eFQsCAgIaSgADAwAHC0slRlFYUVNSWQkaCgg%3D</t>
  </si>
  <si>
    <t>https://www.lcsc.com/product-detail/C14858.html?s_z=s_p_CL10C101JB8NNNC&amp;spm=wm.fly.bg.0.xh&amp;lcsc_vid=Q1VfX1ReRFFaUFJSRgIIUV0CFFgIBFJfT1hdVlwEEVkxVlNRT1RZVFVRRVVXUDsOAxUeFF5JWBYZEEoKFBINSQcJGk4dAgUUFAk%3D</t>
  </si>
  <si>
    <t>https://www.lcsc.com/product-detail/C5199872.html?s_z=n_q_CL10B105KB8NQNC&amp;spm=wm.fly.bg.0.xh&amp;lcsc_vid=Q1VfX1ReRFFaUFJSRgIIUV0CFFgIBFJfT1hdVlwEEVkxVlNRT1RZVFVfTldYVTsOAxUeFF5JWBYZEEoKFBINSQcJGk4eFQsCAgIaSgADAwAHC0slRlVWUlxIHxUDCw%3D%3D</t>
  </si>
  <si>
    <t>https://www.lcsc.com/product-detail/C85100.html?s_z=n_C85100</t>
  </si>
  <si>
    <t>Dự án</t>
  </si>
  <si>
    <t>Version</t>
  </si>
  <si>
    <t>Thuộc sản phẩm</t>
  </si>
  <si>
    <t>Cấu hình</t>
  </si>
  <si>
    <t>Kiểu danh sách</t>
  </si>
  <si>
    <t>Linh Kiện</t>
  </si>
  <si>
    <t>Người làm danh sách</t>
  </si>
  <si>
    <t>Hoàng Văn Thành</t>
  </si>
  <si>
    <t xml:space="preserve">Ngày Thực Hiện </t>
  </si>
  <si>
    <t>Người kiểm tra</t>
  </si>
  <si>
    <t xml:space="preserve">Ngày Cập Nhật </t>
  </si>
  <si>
    <t>STT
(No.)</t>
  </si>
  <si>
    <t>Chủng loại
(Type)</t>
  </si>
  <si>
    <t>Loại Hàng Hóa
(Category)</t>
  </si>
  <si>
    <t>Mô Tả
 (Description)</t>
  </si>
  <si>
    <t>Nhà sản xuất
(Manufacturer)</t>
  </si>
  <si>
    <t>PartNumber</t>
  </si>
  <si>
    <t>Tên Trên PCB
 (Location)</t>
  </si>
  <si>
    <t>Số lượng cần thiết gia công
(Quantity)</t>
  </si>
  <si>
    <t>Đơn vị
(Unit)</t>
  </si>
  <si>
    <t>Kiểu hàn
(Assembly)</t>
  </si>
  <si>
    <t>Module</t>
  </si>
  <si>
    <t>Capacitor</t>
  </si>
  <si>
    <t>https://www.lcsc.com/product-detail/C98732.html?s_z=n_XT60</t>
  </si>
  <si>
    <t>Connector</t>
  </si>
  <si>
    <t>https://www.lcsc.com/product-detail/C34945.html</t>
  </si>
  <si>
    <t>Diode</t>
  </si>
  <si>
    <t>IC</t>
  </si>
  <si>
    <t>https://www.lcsc.com/product-detail/C367388.html?s_z=n_FL7760&amp;spm=wm.ssy.bg.0.xh&amp;lcsc_vid=QVhYA1deElkMBVEAQVVWVAECEVVXUAcCTgNYUQVSEVAxVlNRQ1hYVFBfTlhcXzsOAxUeFF5JWBYZEEoKFBINSQcJGk4eFQsCAgIaSgADAwAHC0slRlleUFNRQlhADxALGw%3D%3D</t>
  </si>
  <si>
    <t>Inductor</t>
  </si>
  <si>
    <t>https://www.lcsc.com/product-detail/C47149121.html?s_z=n_C47149121</t>
  </si>
  <si>
    <t>Mosfet</t>
  </si>
  <si>
    <t>https://www.lcsc.com/product-detail/C42395330.html?s_z=n_c42395330</t>
  </si>
  <si>
    <t>Transistor</t>
  </si>
  <si>
    <t>https://www.lcsc.com/product-detail/C82460.html?s_z=n_mmbt</t>
  </si>
  <si>
    <t>https://www.lcsc.com/product-detail/C20605803.html?s_z=n_YJG60N04AQ</t>
  </si>
  <si>
    <t>Phototransistor</t>
  </si>
  <si>
    <t>https://www.lcsc.com/product-detail/C5451663.html?s_z=n_c5451663</t>
  </si>
  <si>
    <t>Resistor</t>
  </si>
  <si>
    <t>https://www.lcsc.com/product-detail/C98220.html?s_z=n_C98220</t>
  </si>
  <si>
    <t>https://www.lcsc.com/product-detail/C22548.html?s_z=n_C22548</t>
  </si>
  <si>
    <t>https://www.lcsc.com/product-detail/C2985721.html?spm=wm.fly.bg.0.xh&amp;lcsc_vid=EQVeAlBQE1lfUQdeRVANVgZXElUKUAUCRwdWVVRWQVUxVlNRQ1hbUlRURFJdVDtW</t>
  </si>
  <si>
    <t>https://www.lcsc.com/product-detail/C100044.html?s_z=n_0R</t>
  </si>
  <si>
    <t>Pcs</t>
  </si>
  <si>
    <t>Díp Soldering</t>
  </si>
  <si>
    <t>SMT</t>
  </si>
  <si>
    <t>Đỗ Danh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</si>
</sst>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DA9E-4530-4D76-8446-956B54B14164}">
  <dimension ref="A1:P29"/>
  <sheetViews>
    <sheetView tabSelected="1" zoomScale="85" zoomScaleNormal="85" workbookViewId="0">
      <selection activeCell="H29" sqref="H29"/>
    </sheetView>
  </sheetViews>
  <sheetFormatPr defaultRowHeight="14.4" x14ac:dyDescent="0.3"/>
  <cols>
    <col min="2" max="2" width="14.21875" customWidth="1"/>
    <col min="3" max="3" width="19" customWidth="1"/>
    <col min="4" max="4" width="34.21875" customWidth="1"/>
    <col min="5" max="5" width="26.88671875" customWidth="1"/>
    <col min="6" max="6" width="23.109375" customWidth="1"/>
    <col min="7" max="10" width="19" customWidth="1"/>
    <col min="11" max="12" width="16" customWidth="1"/>
  </cols>
  <sheetData>
    <row r="1" spans="1:16" s="4" customFormat="1" ht="20.399999999999999" x14ac:dyDescent="0.25">
      <c r="A1" s="19"/>
      <c r="B1" s="1"/>
      <c r="C1" s="2" t="s">
        <v>93</v>
      </c>
      <c r="D1" s="3"/>
      <c r="E1" s="3" t="s">
        <v>94</v>
      </c>
      <c r="F1" s="20"/>
      <c r="G1" s="21"/>
      <c r="K1" s="1"/>
    </row>
    <row r="2" spans="1:16" s="4" customFormat="1" ht="13.2" x14ac:dyDescent="0.25">
      <c r="A2" s="19"/>
      <c r="B2" s="1"/>
      <c r="C2" s="5" t="s">
        <v>95</v>
      </c>
      <c r="D2" s="6"/>
      <c r="E2" s="22"/>
      <c r="F2" s="23"/>
      <c r="G2" s="24"/>
      <c r="K2" s="1"/>
    </row>
    <row r="3" spans="1:16" s="4" customFormat="1" ht="13.2" x14ac:dyDescent="0.25">
      <c r="A3" s="19"/>
      <c r="B3" s="1"/>
      <c r="C3" s="5" t="s">
        <v>96</v>
      </c>
      <c r="D3" s="6"/>
      <c r="E3" s="25"/>
      <c r="F3" s="26"/>
      <c r="G3" s="27"/>
      <c r="K3" s="1"/>
    </row>
    <row r="4" spans="1:16" s="4" customFormat="1" ht="13.2" x14ac:dyDescent="0.25">
      <c r="A4" s="19"/>
      <c r="B4" s="1"/>
      <c r="C4" s="5" t="s">
        <v>97</v>
      </c>
      <c r="D4" s="8" t="s">
        <v>98</v>
      </c>
      <c r="E4" s="28"/>
      <c r="F4" s="29"/>
      <c r="G4" s="30"/>
      <c r="K4" s="1"/>
    </row>
    <row r="5" spans="1:16" s="4" customFormat="1" ht="13.2" x14ac:dyDescent="0.25">
      <c r="A5" s="19"/>
      <c r="B5" s="1"/>
      <c r="C5" s="5" t="s">
        <v>99</v>
      </c>
      <c r="D5" s="8" t="s">
        <v>139</v>
      </c>
      <c r="E5" s="8" t="s">
        <v>101</v>
      </c>
      <c r="F5" s="31">
        <v>46361</v>
      </c>
      <c r="G5" s="32"/>
      <c r="K5" s="1"/>
    </row>
    <row r="6" spans="1:16" s="4" customFormat="1" ht="13.2" x14ac:dyDescent="0.25">
      <c r="A6" s="19"/>
      <c r="B6" s="1"/>
      <c r="C6" s="5" t="s">
        <v>102</v>
      </c>
      <c r="D6" s="8" t="s">
        <v>100</v>
      </c>
      <c r="E6" s="8" t="s">
        <v>103</v>
      </c>
      <c r="F6" s="33"/>
      <c r="G6" s="33"/>
      <c r="K6" s="1"/>
    </row>
    <row r="7" spans="1:16" s="4" customFormat="1" ht="13.2" x14ac:dyDescent="0.25">
      <c r="A7" s="1"/>
      <c r="B7" s="1"/>
      <c r="C7" s="15"/>
      <c r="D7" s="7"/>
      <c r="E7" s="7"/>
      <c r="F7" s="7"/>
      <c r="G7" s="7"/>
      <c r="K7" s="1"/>
    </row>
    <row r="8" spans="1:16" s="12" customFormat="1" ht="54.6" customHeight="1" x14ac:dyDescent="0.3">
      <c r="A8" s="9" t="s">
        <v>104</v>
      </c>
      <c r="B8" s="9" t="s">
        <v>105</v>
      </c>
      <c r="C8" s="10" t="s">
        <v>106</v>
      </c>
      <c r="D8" s="10" t="s">
        <v>107</v>
      </c>
      <c r="E8" s="10" t="s">
        <v>108</v>
      </c>
      <c r="F8" s="10" t="s">
        <v>109</v>
      </c>
      <c r="G8" s="14" t="s">
        <v>110</v>
      </c>
      <c r="H8" s="13" t="s">
        <v>0</v>
      </c>
      <c r="I8" s="10" t="s">
        <v>111</v>
      </c>
      <c r="J8" s="10" t="s">
        <v>112</v>
      </c>
      <c r="K8" s="10" t="s">
        <v>113</v>
      </c>
      <c r="L8" s="11" t="s">
        <v>1</v>
      </c>
    </row>
    <row r="9" spans="1:16" x14ac:dyDescent="0.3">
      <c r="A9" s="16">
        <v>1</v>
      </c>
      <c r="B9" s="16" t="s">
        <v>114</v>
      </c>
      <c r="C9" s="17" t="s">
        <v>2</v>
      </c>
      <c r="D9" s="17" t="s">
        <v>3</v>
      </c>
      <c r="E9" s="17" t="s">
        <v>5</v>
      </c>
      <c r="F9" s="18" t="s">
        <v>2</v>
      </c>
      <c r="G9" s="17" t="s">
        <v>4</v>
      </c>
      <c r="H9" s="18">
        <v>1</v>
      </c>
      <c r="I9" s="18">
        <f>H9*4</f>
        <v>4</v>
      </c>
      <c r="J9" s="16" t="s">
        <v>136</v>
      </c>
      <c r="K9" s="16" t="s">
        <v>137</v>
      </c>
      <c r="L9" s="17" t="s">
        <v>6</v>
      </c>
      <c r="M9" s="16"/>
      <c r="N9" s="16"/>
      <c r="O9" s="16"/>
      <c r="P9" s="16"/>
    </row>
    <row r="10" spans="1:16" x14ac:dyDescent="0.3">
      <c r="A10" s="16">
        <v>2</v>
      </c>
      <c r="B10" s="16" t="s">
        <v>115</v>
      </c>
      <c r="C10" s="17" t="s">
        <v>7</v>
      </c>
      <c r="D10" s="17" t="s">
        <v>8</v>
      </c>
      <c r="E10" s="17" t="s">
        <v>10</v>
      </c>
      <c r="F10" s="17" t="s">
        <v>11</v>
      </c>
      <c r="G10" s="17" t="s">
        <v>9</v>
      </c>
      <c r="H10" s="18">
        <v>2</v>
      </c>
      <c r="I10" s="18">
        <f>H10*4</f>
        <v>8</v>
      </c>
      <c r="J10" s="16" t="s">
        <v>136</v>
      </c>
      <c r="K10" s="16" t="s">
        <v>138</v>
      </c>
      <c r="L10" s="18" t="s">
        <v>87</v>
      </c>
      <c r="M10" s="16"/>
      <c r="N10" s="16"/>
      <c r="O10" s="16"/>
      <c r="P10" s="16"/>
    </row>
    <row r="11" spans="1:16" x14ac:dyDescent="0.3">
      <c r="A11" s="16">
        <v>3</v>
      </c>
      <c r="B11" s="16" t="s">
        <v>115</v>
      </c>
      <c r="C11" s="17" t="s">
        <v>12</v>
      </c>
      <c r="D11" s="17" t="s">
        <v>13</v>
      </c>
      <c r="E11" s="17" t="s">
        <v>15</v>
      </c>
      <c r="F11" s="17" t="s">
        <v>16</v>
      </c>
      <c r="G11" s="17" t="s">
        <v>14</v>
      </c>
      <c r="H11" s="18">
        <v>6</v>
      </c>
      <c r="I11" s="18">
        <f t="shared" ref="I11:I27" si="0">H11*4</f>
        <v>24</v>
      </c>
      <c r="J11" s="16" t="s">
        <v>136</v>
      </c>
      <c r="K11" s="16" t="s">
        <v>138</v>
      </c>
      <c r="L11" s="18" t="s">
        <v>88</v>
      </c>
      <c r="M11" s="16"/>
      <c r="N11" s="16"/>
      <c r="O11" s="16"/>
      <c r="P11" s="16"/>
    </row>
    <row r="12" spans="1:16" x14ac:dyDescent="0.3">
      <c r="A12" s="16">
        <v>4</v>
      </c>
      <c r="B12" s="16" t="s">
        <v>115</v>
      </c>
      <c r="C12" s="17" t="s">
        <v>17</v>
      </c>
      <c r="D12" s="17" t="s">
        <v>18</v>
      </c>
      <c r="E12" s="17" t="s">
        <v>20</v>
      </c>
      <c r="F12" s="17" t="s">
        <v>21</v>
      </c>
      <c r="G12" s="17" t="s">
        <v>19</v>
      </c>
      <c r="H12" s="18">
        <v>6</v>
      </c>
      <c r="I12" s="18">
        <f t="shared" si="0"/>
        <v>24</v>
      </c>
      <c r="J12" s="16" t="s">
        <v>136</v>
      </c>
      <c r="K12" s="16" t="s">
        <v>138</v>
      </c>
      <c r="L12" s="18" t="s">
        <v>89</v>
      </c>
      <c r="M12" s="16"/>
      <c r="N12" s="16"/>
      <c r="O12" s="16"/>
      <c r="P12" s="16"/>
    </row>
    <row r="13" spans="1:16" x14ac:dyDescent="0.3">
      <c r="A13" s="16">
        <v>5</v>
      </c>
      <c r="B13" s="16" t="s">
        <v>115</v>
      </c>
      <c r="C13" s="17" t="s">
        <v>22</v>
      </c>
      <c r="D13" s="17" t="s">
        <v>23</v>
      </c>
      <c r="E13" s="17" t="s">
        <v>20</v>
      </c>
      <c r="F13" s="17" t="s">
        <v>25</v>
      </c>
      <c r="G13" s="17" t="s">
        <v>24</v>
      </c>
      <c r="H13" s="18">
        <v>3</v>
      </c>
      <c r="I13" s="18">
        <f t="shared" si="0"/>
        <v>12</v>
      </c>
      <c r="J13" s="16" t="s">
        <v>136</v>
      </c>
      <c r="K13" s="16" t="s">
        <v>138</v>
      </c>
      <c r="L13" s="18" t="s">
        <v>90</v>
      </c>
      <c r="M13" s="16"/>
      <c r="N13" s="16"/>
      <c r="O13" s="16"/>
      <c r="P13" s="16"/>
    </row>
    <row r="14" spans="1:16" x14ac:dyDescent="0.3">
      <c r="A14" s="16">
        <v>6</v>
      </c>
      <c r="B14" s="16" t="s">
        <v>115</v>
      </c>
      <c r="C14" s="17" t="s">
        <v>26</v>
      </c>
      <c r="D14" s="17" t="s">
        <v>27</v>
      </c>
      <c r="E14" s="17" t="s">
        <v>20</v>
      </c>
      <c r="F14" s="17" t="s">
        <v>29</v>
      </c>
      <c r="G14" s="17" t="s">
        <v>28</v>
      </c>
      <c r="H14" s="18">
        <v>3</v>
      </c>
      <c r="I14" s="18">
        <f t="shared" si="0"/>
        <v>12</v>
      </c>
      <c r="J14" s="16" t="s">
        <v>136</v>
      </c>
      <c r="K14" s="16" t="s">
        <v>138</v>
      </c>
      <c r="L14" s="18" t="s">
        <v>91</v>
      </c>
      <c r="M14" s="16"/>
      <c r="N14" s="16"/>
      <c r="O14" s="16"/>
      <c r="P14" s="16"/>
    </row>
    <row r="15" spans="1:16" x14ac:dyDescent="0.3">
      <c r="A15" s="16">
        <v>7</v>
      </c>
      <c r="B15" s="16" t="s">
        <v>117</v>
      </c>
      <c r="C15" s="17" t="s">
        <v>30</v>
      </c>
      <c r="D15" s="17" t="s">
        <v>31</v>
      </c>
      <c r="E15" s="17" t="s">
        <v>33</v>
      </c>
      <c r="F15" s="17" t="s">
        <v>30</v>
      </c>
      <c r="G15" s="17" t="s">
        <v>32</v>
      </c>
      <c r="H15" s="18">
        <v>4</v>
      </c>
      <c r="I15" s="18">
        <f t="shared" si="0"/>
        <v>16</v>
      </c>
      <c r="J15" s="16" t="s">
        <v>136</v>
      </c>
      <c r="K15" s="16" t="s">
        <v>137</v>
      </c>
      <c r="L15" s="18" t="s">
        <v>116</v>
      </c>
      <c r="M15" s="16"/>
      <c r="N15" s="16"/>
      <c r="O15" s="16"/>
      <c r="P15" s="16"/>
    </row>
    <row r="16" spans="1:16" x14ac:dyDescent="0.3">
      <c r="A16" s="16">
        <v>8</v>
      </c>
      <c r="B16" s="16" t="s">
        <v>117</v>
      </c>
      <c r="C16" s="17" t="s">
        <v>34</v>
      </c>
      <c r="D16" s="17" t="s">
        <v>35</v>
      </c>
      <c r="E16" s="17" t="s">
        <v>37</v>
      </c>
      <c r="F16" s="17" t="s">
        <v>38</v>
      </c>
      <c r="G16" s="17" t="s">
        <v>36</v>
      </c>
      <c r="H16" s="18">
        <v>1</v>
      </c>
      <c r="I16" s="18">
        <f t="shared" si="0"/>
        <v>4</v>
      </c>
      <c r="J16" s="16" t="s">
        <v>136</v>
      </c>
      <c r="K16" s="16" t="s">
        <v>137</v>
      </c>
      <c r="L16" s="18" t="s">
        <v>118</v>
      </c>
      <c r="M16" s="16"/>
      <c r="N16" s="16"/>
      <c r="O16" s="16"/>
      <c r="P16" s="16"/>
    </row>
    <row r="17" spans="1:16" x14ac:dyDescent="0.3">
      <c r="A17" s="16">
        <v>9</v>
      </c>
      <c r="B17" s="16" t="s">
        <v>119</v>
      </c>
      <c r="C17" s="17" t="s">
        <v>39</v>
      </c>
      <c r="D17" s="17" t="s">
        <v>40</v>
      </c>
      <c r="E17" s="17" t="s">
        <v>42</v>
      </c>
      <c r="F17" s="17" t="s">
        <v>39</v>
      </c>
      <c r="G17" s="17" t="s">
        <v>41</v>
      </c>
      <c r="H17" s="18">
        <v>3</v>
      </c>
      <c r="I17" s="18">
        <f t="shared" si="0"/>
        <v>12</v>
      </c>
      <c r="J17" s="16" t="s">
        <v>136</v>
      </c>
      <c r="K17" s="16" t="s">
        <v>138</v>
      </c>
      <c r="L17" s="18" t="s">
        <v>92</v>
      </c>
      <c r="M17" s="16"/>
      <c r="N17" s="16"/>
      <c r="O17" s="16"/>
      <c r="P17" s="16"/>
    </row>
    <row r="18" spans="1:16" x14ac:dyDescent="0.3">
      <c r="A18" s="16">
        <v>10</v>
      </c>
      <c r="B18" s="16" t="s">
        <v>120</v>
      </c>
      <c r="C18" s="17" t="s">
        <v>43</v>
      </c>
      <c r="D18" s="17" t="s">
        <v>44</v>
      </c>
      <c r="E18" s="17" t="s">
        <v>46</v>
      </c>
      <c r="F18" s="17" t="s">
        <v>43</v>
      </c>
      <c r="G18" s="17" t="s">
        <v>45</v>
      </c>
      <c r="H18" s="18">
        <v>3</v>
      </c>
      <c r="I18" s="18">
        <f t="shared" si="0"/>
        <v>12</v>
      </c>
      <c r="J18" s="16" t="s">
        <v>136</v>
      </c>
      <c r="K18" s="16" t="s">
        <v>138</v>
      </c>
      <c r="L18" s="18" t="s">
        <v>121</v>
      </c>
      <c r="M18" s="16"/>
      <c r="N18" s="16"/>
      <c r="O18" s="16"/>
      <c r="P18" s="16"/>
    </row>
    <row r="19" spans="1:16" x14ac:dyDescent="0.3">
      <c r="A19" s="16">
        <v>11</v>
      </c>
      <c r="B19" s="16" t="s">
        <v>122</v>
      </c>
      <c r="C19" s="17" t="s">
        <v>47</v>
      </c>
      <c r="D19" s="17" t="s">
        <v>48</v>
      </c>
      <c r="E19" s="17" t="s">
        <v>50</v>
      </c>
      <c r="F19" s="17" t="s">
        <v>51</v>
      </c>
      <c r="G19" s="17" t="s">
        <v>49</v>
      </c>
      <c r="H19" s="18">
        <v>3</v>
      </c>
      <c r="I19" s="18">
        <f t="shared" si="0"/>
        <v>12</v>
      </c>
      <c r="J19" s="16" t="s">
        <v>136</v>
      </c>
      <c r="K19" s="16" t="s">
        <v>138</v>
      </c>
      <c r="L19" s="18" t="s">
        <v>123</v>
      </c>
      <c r="M19" s="16"/>
      <c r="N19" s="16"/>
      <c r="O19" s="16"/>
      <c r="P19" s="16"/>
    </row>
    <row r="20" spans="1:16" x14ac:dyDescent="0.3">
      <c r="A20" s="16">
        <v>12</v>
      </c>
      <c r="B20" s="16" t="s">
        <v>124</v>
      </c>
      <c r="C20" s="17" t="s">
        <v>52</v>
      </c>
      <c r="D20" s="17" t="s">
        <v>53</v>
      </c>
      <c r="E20" s="17" t="s">
        <v>55</v>
      </c>
      <c r="F20" s="17" t="s">
        <v>52</v>
      </c>
      <c r="G20" s="17" t="s">
        <v>54</v>
      </c>
      <c r="H20" s="18">
        <v>2</v>
      </c>
      <c r="I20" s="18">
        <f t="shared" si="0"/>
        <v>8</v>
      </c>
      <c r="J20" s="16" t="s">
        <v>136</v>
      </c>
      <c r="K20" s="16" t="s">
        <v>138</v>
      </c>
      <c r="L20" s="18" t="s">
        <v>125</v>
      </c>
      <c r="M20" s="16"/>
      <c r="N20" s="16"/>
      <c r="O20" s="16"/>
      <c r="P20" s="16"/>
    </row>
    <row r="21" spans="1:16" x14ac:dyDescent="0.3">
      <c r="A21" s="16">
        <v>13</v>
      </c>
      <c r="B21" s="16" t="s">
        <v>126</v>
      </c>
      <c r="C21" s="17" t="s">
        <v>56</v>
      </c>
      <c r="D21" s="17" t="s">
        <v>57</v>
      </c>
      <c r="E21" s="17" t="s">
        <v>46</v>
      </c>
      <c r="F21" s="17" t="s">
        <v>59</v>
      </c>
      <c r="G21" s="17" t="s">
        <v>58</v>
      </c>
      <c r="H21" s="18">
        <v>2</v>
      </c>
      <c r="I21" s="18">
        <f t="shared" si="0"/>
        <v>8</v>
      </c>
      <c r="J21" s="16" t="s">
        <v>136</v>
      </c>
      <c r="K21" s="16" t="s">
        <v>138</v>
      </c>
      <c r="L21" s="18" t="s">
        <v>127</v>
      </c>
      <c r="M21" s="16"/>
      <c r="N21" s="16"/>
      <c r="O21" s="16"/>
      <c r="P21" s="16"/>
    </row>
    <row r="22" spans="1:16" x14ac:dyDescent="0.3">
      <c r="A22" s="16">
        <v>14</v>
      </c>
      <c r="B22" s="16" t="s">
        <v>124</v>
      </c>
      <c r="C22" s="17" t="s">
        <v>60</v>
      </c>
      <c r="D22" s="17" t="s">
        <v>61</v>
      </c>
      <c r="E22" s="17" t="s">
        <v>63</v>
      </c>
      <c r="F22" s="17" t="s">
        <v>64</v>
      </c>
      <c r="G22" s="17" t="s">
        <v>62</v>
      </c>
      <c r="H22" s="18">
        <v>3</v>
      </c>
      <c r="I22" s="18">
        <f t="shared" si="0"/>
        <v>12</v>
      </c>
      <c r="J22" s="16" t="s">
        <v>136</v>
      </c>
      <c r="K22" s="16" t="s">
        <v>138</v>
      </c>
      <c r="L22" s="18" t="s">
        <v>128</v>
      </c>
      <c r="M22" s="16"/>
      <c r="N22" s="16"/>
      <c r="O22" s="16"/>
      <c r="P22" s="16"/>
    </row>
    <row r="23" spans="1:16" x14ac:dyDescent="0.3">
      <c r="A23" s="16">
        <v>15</v>
      </c>
      <c r="B23" s="16" t="s">
        <v>129</v>
      </c>
      <c r="C23" s="17" t="s">
        <v>65</v>
      </c>
      <c r="D23" s="17" t="s">
        <v>66</v>
      </c>
      <c r="E23" s="17" t="s">
        <v>68</v>
      </c>
      <c r="F23" s="17" t="s">
        <v>65</v>
      </c>
      <c r="G23" s="17" t="s">
        <v>67</v>
      </c>
      <c r="H23" s="18">
        <v>1</v>
      </c>
      <c r="I23" s="18">
        <f t="shared" si="0"/>
        <v>4</v>
      </c>
      <c r="J23" s="16" t="s">
        <v>136</v>
      </c>
      <c r="K23" s="16" t="s">
        <v>138</v>
      </c>
      <c r="L23" s="18" t="s">
        <v>130</v>
      </c>
      <c r="M23" s="16"/>
      <c r="N23" s="16"/>
      <c r="O23" s="16"/>
      <c r="P23" s="16"/>
    </row>
    <row r="24" spans="1:16" x14ac:dyDescent="0.3">
      <c r="A24" s="16">
        <v>16</v>
      </c>
      <c r="B24" s="16" t="s">
        <v>131</v>
      </c>
      <c r="C24" s="17" t="s">
        <v>69</v>
      </c>
      <c r="D24" s="17" t="s">
        <v>70</v>
      </c>
      <c r="E24" s="17" t="s">
        <v>72</v>
      </c>
      <c r="F24" s="17" t="s">
        <v>73</v>
      </c>
      <c r="G24" s="17" t="s">
        <v>71</v>
      </c>
      <c r="H24" s="18">
        <v>3</v>
      </c>
      <c r="I24" s="18">
        <f t="shared" si="0"/>
        <v>12</v>
      </c>
      <c r="J24" s="16" t="s">
        <v>136</v>
      </c>
      <c r="K24" s="16" t="s">
        <v>138</v>
      </c>
      <c r="L24" s="18" t="s">
        <v>132</v>
      </c>
      <c r="M24" s="16"/>
      <c r="N24" s="16"/>
      <c r="O24" s="16"/>
      <c r="P24" s="16"/>
    </row>
    <row r="25" spans="1:16" x14ac:dyDescent="0.3">
      <c r="A25" s="16">
        <v>17</v>
      </c>
      <c r="B25" s="16" t="s">
        <v>131</v>
      </c>
      <c r="C25" s="17" t="s">
        <v>74</v>
      </c>
      <c r="D25" s="17" t="s">
        <v>75</v>
      </c>
      <c r="E25" s="17" t="s">
        <v>72</v>
      </c>
      <c r="F25" s="17" t="s">
        <v>77</v>
      </c>
      <c r="G25" s="17" t="s">
        <v>76</v>
      </c>
      <c r="H25" s="18">
        <v>3</v>
      </c>
      <c r="I25" s="18">
        <f t="shared" si="0"/>
        <v>12</v>
      </c>
      <c r="J25" s="16" t="s">
        <v>136</v>
      </c>
      <c r="K25" s="16" t="s">
        <v>138</v>
      </c>
      <c r="L25" s="18" t="s">
        <v>133</v>
      </c>
      <c r="M25" s="16"/>
      <c r="N25" s="16"/>
      <c r="O25" s="16"/>
      <c r="P25" s="16"/>
    </row>
    <row r="26" spans="1:16" x14ac:dyDescent="0.3">
      <c r="A26" s="16">
        <v>18</v>
      </c>
      <c r="B26" s="16" t="s">
        <v>131</v>
      </c>
      <c r="C26" s="17" t="s">
        <v>78</v>
      </c>
      <c r="D26" s="17" t="s">
        <v>79</v>
      </c>
      <c r="E26" s="17" t="s">
        <v>81</v>
      </c>
      <c r="F26" s="17" t="s">
        <v>82</v>
      </c>
      <c r="G26" s="17" t="s">
        <v>80</v>
      </c>
      <c r="H26" s="18">
        <v>3</v>
      </c>
      <c r="I26" s="18">
        <f t="shared" si="0"/>
        <v>12</v>
      </c>
      <c r="J26" s="16" t="s">
        <v>136</v>
      </c>
      <c r="K26" s="16" t="s">
        <v>138</v>
      </c>
      <c r="L26" s="18" t="s">
        <v>134</v>
      </c>
      <c r="M26" s="16"/>
      <c r="N26" s="16"/>
      <c r="O26" s="16"/>
      <c r="P26" s="16"/>
    </row>
    <row r="27" spans="1:16" x14ac:dyDescent="0.3">
      <c r="A27" s="16">
        <v>19</v>
      </c>
      <c r="B27" s="16" t="s">
        <v>131</v>
      </c>
      <c r="C27" s="17" t="s">
        <v>83</v>
      </c>
      <c r="D27" s="17" t="s">
        <v>84</v>
      </c>
      <c r="E27" s="17" t="s">
        <v>72</v>
      </c>
      <c r="F27" s="17" t="s">
        <v>86</v>
      </c>
      <c r="G27" s="17" t="s">
        <v>85</v>
      </c>
      <c r="H27" s="18">
        <v>4</v>
      </c>
      <c r="I27" s="18">
        <f t="shared" si="0"/>
        <v>16</v>
      </c>
      <c r="J27" s="16" t="s">
        <v>136</v>
      </c>
      <c r="K27" s="16" t="s">
        <v>138</v>
      </c>
      <c r="L27" s="18" t="s">
        <v>135</v>
      </c>
      <c r="M27" s="16"/>
      <c r="N27" s="16"/>
      <c r="O27" s="16"/>
      <c r="P27" s="16"/>
    </row>
    <row r="28" spans="1:16" x14ac:dyDescent="0.3">
      <c r="A28" s="16"/>
      <c r="B28" s="16"/>
      <c r="C28" s="17"/>
      <c r="D28" s="17"/>
      <c r="E28" s="17"/>
      <c r="F28" s="17"/>
      <c r="G28" s="17"/>
      <c r="H28" s="18"/>
      <c r="I28" s="18"/>
      <c r="J28" s="16"/>
      <c r="K28" s="16"/>
      <c r="L28" s="18"/>
      <c r="M28" s="16"/>
      <c r="N28" s="16"/>
      <c r="O28" s="16"/>
      <c r="P28" s="16"/>
    </row>
    <row r="29" spans="1:16" x14ac:dyDescent="0.3">
      <c r="A29" s="16"/>
      <c r="B29" s="16"/>
      <c r="C29" s="17"/>
      <c r="D29" s="17"/>
      <c r="E29" s="17"/>
      <c r="F29" s="17"/>
      <c r="G29" s="17"/>
      <c r="H29" s="18"/>
      <c r="I29" s="18"/>
      <c r="J29" s="16"/>
      <c r="K29" s="16"/>
      <c r="L29" s="18"/>
      <c r="M29" s="16"/>
      <c r="N29" s="16"/>
      <c r="O29" s="16"/>
      <c r="P29" s="16"/>
    </row>
  </sheetData>
  <mergeCells count="5">
    <mergeCell ref="A1:A6"/>
    <mergeCell ref="F1:G1"/>
    <mergeCell ref="E2:G4"/>
    <mergeCell ref="F5:G5"/>
    <mergeCell ref="F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4x0phztp</vt:lpstr>
      <vt:lpstr>'4x0phztp'!Print_Titles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2026-05-12T07:55:22Z</dcterms:created>
  <dcterms:modified xsi:type="dcterms:W3CDTF">2026-05-12T09:23:59Z</dcterms:modified>
</cp:coreProperties>
</file>